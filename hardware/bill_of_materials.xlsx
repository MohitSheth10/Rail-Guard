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cation Work\Project\BOM\"/>
    </mc:Choice>
  </mc:AlternateContent>
  <bookViews>
    <workbookView xWindow="0" yWindow="0" windowWidth="16380" windowHeight="8196" tabRatio="500"/>
  </bookViews>
  <sheets>
    <sheet name="BOM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1" l="1"/>
  <c r="G35" i="1"/>
  <c r="G34" i="1"/>
  <c r="G33" i="1"/>
  <c r="G32" i="1"/>
  <c r="G31" i="1"/>
  <c r="G24" i="1"/>
  <c r="G18" i="1"/>
  <c r="G17" i="1"/>
  <c r="G16" i="1"/>
  <c r="G13" i="1"/>
  <c r="G12" i="1"/>
  <c r="G40" i="1" s="1"/>
  <c r="G11" i="1"/>
  <c r="G48" i="1"/>
  <c r="G6" i="1"/>
</calcChain>
</file>

<file path=xl/sharedStrings.xml><?xml version="1.0" encoding="utf-8"?>
<sst xmlns="http://schemas.openxmlformats.org/spreadsheetml/2006/main" count="202" uniqueCount="134">
  <si>
    <t>RAILWAY FISHPLATE BOLT FAILURE DETECTOR — BILL OF MATERIALS</t>
  </si>
  <si>
    <t>DAIS Mumbai · IBDP Engineering Design Project 2025–26 · Mohit</t>
  </si>
  <si>
    <t>Prices shown only where confirmed.  Blank = price not yet confirmed.  Fill in the yellow cells to complete the BOM.</t>
  </si>
  <si>
    <t>#</t>
  </si>
  <si>
    <t>Component Name</t>
  </si>
  <si>
    <t>Category</t>
  </si>
  <si>
    <t>Qty</t>
  </si>
  <si>
    <t>Unit Price (₹)</t>
  </si>
  <si>
    <t>Total Price (₹)</t>
  </si>
  <si>
    <t>Price Status</t>
  </si>
  <si>
    <t>Source / Link</t>
  </si>
  <si>
    <t>VIBRATION MOTORS — Train Simulation</t>
  </si>
  <si>
    <t>V1</t>
  </si>
  <si>
    <t>Sector 775 DC12V 4000RPM Vibration Motor (With Vibrating Head)</t>
  </si>
  <si>
    <t>Motors</t>
  </si>
  <si>
    <t>CONFIRMED</t>
  </si>
  <si>
    <t>Open Link</t>
  </si>
  <si>
    <t>V2</t>
  </si>
  <si>
    <t>L298N 2A Based Motor Driver Module</t>
  </si>
  <si>
    <t>V3</t>
  </si>
  <si>
    <t>LTRONIX 12V 2A DC Power Adapter (Amazon)</t>
  </si>
  <si>
    <t>CATEGORY A — Core Sensing &amp; Processing Electronics</t>
  </si>
  <si>
    <t>A1</t>
  </si>
  <si>
    <t>ESP32-S3 Mini Module</t>
  </si>
  <si>
    <t>Cat A — Electronics</t>
  </si>
  <si>
    <t>https://robu.in/product/waveshare-esp32-s3-mini-development-board-based-on-esp32-s3fh4r2-dual-core-processor-240mhz-running-frequency-2-4ghz-wi-fi-bluetooth-5/</t>
  </si>
  <si>
    <t>A2</t>
  </si>
  <si>
    <t>A3</t>
  </si>
  <si>
    <t>CJMCU TCA9548A I2C 8-Channel Multiplexer</t>
  </si>
  <si>
    <t>A4</t>
  </si>
  <si>
    <t>MicroSD Card Module (SPI)</t>
  </si>
  <si>
    <t>https://www.amazon.in/Prakti-Storage-Memory-Adapter-Arduino/dp/B0C243QCGD/ref=sr_1_3?crid=1KSILQB8F4D5Y&amp;dib=eyJ2IjoiMSJ9.jUVbMpnVDZ2GvfhzvvSr3GsEYSFSVlo8P6aqdrwCSDMmIe1HA8ZZcbBBQru19ZGpQkOua2HOxSYCttv256wFlKqTQHI9rgNSgQYj7HQVqYv2CVgj_CuYdNC_O7GsEOkmEhUzThaMCMhbC8X6TTzTdJtW20NxPs09DUxu9WpbDyGjno6xP1tlvoTJRXkOd1HrveAUto56xMcMTddcGO7B5mA99vnwYCsd-_J3Kx-vvVMoqBjZB4XgRGxV8uT-5zubk_STnesD0Nq42KLrrnqPS38wwYzeKb4w9rbmolgRXlY.F1HNFvybQpvFUMKITQIQyYrutPSUJIRJ5c99srAJ_KQ&amp;dib_tag=se&amp;keywords=MicroSD+Card+Module+%28SPI%29&amp;qid=1780118964&amp;refresh=1&amp;sprefix=microsd+card+module+spi+%2Caps%2C301&amp;sr=8-3</t>
  </si>
  <si>
    <t>A5</t>
  </si>
  <si>
    <t xml:space="preserve">SanDisk 32GB Class 10 MicroSD Card </t>
  </si>
  <si>
    <t>LOCAL SHOP</t>
  </si>
  <si>
    <t>https://www.amazon.in/Hikvision-Extreme-microSDXC-Smartphones-Warrenty/dp/B0FHWVT649/ref=sr_1_5?crid=223L9HWVL6W04&amp;dib=eyJ2IjoiMSJ9.IsM3djobeZY5o6Iv-mb-j96qrw4Hf-ntRaUP6CNQfYwJW58c3gP-xnroINFTOUS4VLfmZ3617t9ch245MblOYTo2gp7tb31z5gtq8TGMMCGA7_PNTf3jZk9iQTf5YRIIR_AWTPhfghe4DWZoiTsZYoAE2a8CvMvzz2xR-dJP9Fjzf9shab9ioVAbh1yKffEZSr_U5olPGxp-PgeKLoHZIaATL8-miRxxaDvCLQr5kS8.KO6-toQ-n_6nrAPsZP7LiPe9dLetZY10ykQvxU5V8MA&amp;dib_tag=se&amp;keywords=32%2Bgb%2Bmicro%2Bsd%2Bcard%2Bclass%2B10&amp;qid=1780118978&amp;refresh=1&amp;sprefix=32%2Bgb%2Bmicro%2Bsd%2Caps%2C338&amp;sr=8-5&amp;th=1</t>
  </si>
  <si>
    <t>A6</t>
  </si>
  <si>
    <t>https://robobazar.in/product/2kg-load-cell-electronic-weighing-scale-sensor/</t>
  </si>
  <si>
    <t>A7</t>
  </si>
  <si>
    <t>BX350-3AA High Precision Resistance Strain Gauge (Full Bridge)</t>
  </si>
  <si>
    <t>https://robu.in/product/bx120-3aa-high-precision-resistance-strain-gauge-gage-full-bridgeuse-for-pressure-and-weight-sensor1pcs/</t>
  </si>
  <si>
    <t>A8</t>
  </si>
  <si>
    <t>HX711 24-bit Weight Sensor ADC</t>
  </si>
  <si>
    <t>https://robu.in/product/hx711-weighing-sensor-dual-channel-24-bit-precision-ad-weight-pressure-sensor/</t>
  </si>
  <si>
    <t>CATEGORY B — Output Indicators</t>
  </si>
  <si>
    <t>B1</t>
  </si>
  <si>
    <t>10mm High-Brightness LED</t>
  </si>
  <si>
    <t>Cat B — Output</t>
  </si>
  <si>
    <t>https://robu.in/product/yellow-3-9v-6mm-led-metal-indicator-light-with-15cm-cable/</t>
  </si>
  <si>
    <t>B2</t>
  </si>
  <si>
    <t>Resistor Pack</t>
  </si>
  <si>
    <t>CATEGORY C — Power Supply</t>
  </si>
  <si>
    <t>Cat C — Power</t>
  </si>
  <si>
    <t>C2</t>
  </si>
  <si>
    <t>12V/24V to 5V 5A DC-DC Power Module XY-3606</t>
  </si>
  <si>
    <t>https://zbotic.in/product/12v-24v-to-5v-5a-power-module-dc-dc-xy-3606-power-converter/</t>
  </si>
  <si>
    <t>CATEGORY D — Wiring, Prototyping &amp; Assembly</t>
  </si>
  <si>
    <t>D3</t>
  </si>
  <si>
    <t>Hot Glue Sticks 7mm — Pack of 20</t>
  </si>
  <si>
    <t>Cat D — Assembly</t>
  </si>
  <si>
    <t>https://www.amazon.in/Preminium-Milky-White-Colored-Sticks/dp/B08R7NQ7FT/ref=sr_1_19?crid=1QQYZMGC4F3YX&amp;dib=eyJ2IjoiMSJ9.na_GpVjzxxevWY-s5H_Swc55--GaSZ755EARWnKHDy9YZjzD6xHNjvIlqOowQJEsoFpnm7mu8Jlwi1FCsyXL9Lc6vz2GbjifVTqbC_UgQQAdk57RViIANUrWU_N0S5_6g-gMoZMDlDSrdEd1jpoShXX5Q3gkrlUr0bq2Ym4HVM7uoFv2_ucOjaDv6P-5Rn-saemBBJQgQpmMdaPRE5oOZEdXd4z002fkENWZ3HV-nrdMhtZkNqLMqiD_tesa1Z6tV5HSwtOzQ7RbZG29vp_7C7hLdzbbd4QiBwWQZQj8gfc.zwAXkFwN3L9lcBocW7NU6fZZa2mkoO4j8ny-5sRymOo&amp;dib_tag=se&amp;keywords=Hot+Glue+Sticks+7mm+%E2%80%94+Pack+of+5&amp;nsdOptOutParam=true&amp;qid=1780121563&amp;sprefix=hot+glue+sticks+7mm+pack+of+2%2Caps%2C313&amp;sr=8-19</t>
  </si>
  <si>
    <t>D4</t>
  </si>
  <si>
    <t>Flux Pen</t>
  </si>
  <si>
    <t>https://www.amazon.in/Global-Solutions-Chemtronics-Dispensing-CW8100/dp/B0BXP1Q9YN/ref=sr_1_1_sspa?crid=1189CEBC2PFLZ&amp;dib=eyJ2IjoiMSJ9.8-8G2VmAfTeMeY6_-r3TRpcWxwV76uXMvAQ3WkaF3x4huRMU_1_qcSboqaclisT0fpKnyzEYRNNR2ommt8A1odCLKo8f8iDbWWyvTE0dCL9BinTSieKnEFxx2eB1SG6ody9u51rWViJKD-60WHu5M_ieelq94u3eTm2mBb-tfTg-Y8WsJ3_puBfVMKrJ_1gazLBpimZs4_m2GFkSD2IRaxv9LhP8rf6ALJ5AiBUMedNA88YxeUoSQDRuDRx8cBN16ICYesCDsV-bm_4_ZHtolBt6gLKj06HQ_Tz6mV53vWI.jzc7aOXkh_cI7rYQp6E36SvK7ZxnfHjVcvfGfNYqfg4&amp;dib_tag=se&amp;keywords=flux%2Bpen&amp;qid=1780122010&amp;sprefix=flux%2Bpe%2Caps%2C332&amp;sr=8-1-spons&amp;aref=8LQY3VPdWs&amp;sp_csd=d2lkZ2V0TmFtZT1zcF9hdGY&amp;th=1</t>
  </si>
  <si>
    <t>D5</t>
  </si>
  <si>
    <t>Solder Wire</t>
  </si>
  <si>
    <t>https://robu.in/product/solder-wire-0-5mm-50g-b-type-35-tin-content/</t>
  </si>
  <si>
    <t>D6</t>
  </si>
  <si>
    <t>Micro-USB Cable 1m</t>
  </si>
  <si>
    <t>D7</t>
  </si>
  <si>
    <t>10CM Female to Female Breadboard Jumper DuPont 2.54MM 1P-1P Cable (40 Pcs)</t>
  </si>
  <si>
    <t>https://robu.in/product/10cm-female-female-breadboard-jumper-dupont-2-54mm-1p-1p-cable-40-pcs/</t>
  </si>
  <si>
    <t>D8</t>
  </si>
  <si>
    <t>Male to Male Jumper Wires (40 Pcs, 10cm)</t>
  </si>
  <si>
    <t>https://robu.in/product/male-to-male-jumper-wires-40-pcs-10cm/</t>
  </si>
  <si>
    <t>D9</t>
  </si>
  <si>
    <t>Male to Female Jumper Wires (10-wire, 20cm)</t>
  </si>
  <si>
    <t>https://robu.in/product/10-wire-male-to-female-jumper-wires-20cm/</t>
  </si>
  <si>
    <t>D10</t>
  </si>
  <si>
    <t>GL12 840 Points Solderless Breadboard</t>
  </si>
  <si>
    <t>https://robocraze.com/products/breadboard</t>
  </si>
  <si>
    <t>D11</t>
  </si>
  <si>
    <t>Hook Up Wire Packet (1m each, 5 colors)</t>
  </si>
  <si>
    <t>https://robocraze.com/products/single-stranded-hook-up-wires-1m-each-5-colors</t>
  </si>
  <si>
    <t>CATEGORY E — Track Model &amp; Physical Structure</t>
  </si>
  <si>
    <t>E1</t>
  </si>
  <si>
    <t>Aluminum Angle Section 25×25×2mm (Rails)</t>
  </si>
  <si>
    <t>Cat E — Track</t>
  </si>
  <si>
    <t>LOCAL</t>
  </si>
  <si>
    <t>Local hardware store</t>
  </si>
  <si>
    <t>E2</t>
  </si>
  <si>
    <t>MDF Board 600×300×9mm (Baseboard)</t>
  </si>
  <si>
    <t>Local carpenter</t>
  </si>
  <si>
    <t>E3</t>
  </si>
  <si>
    <t>Wooden Strips — Sleepers (20×10×200mm)</t>
  </si>
  <si>
    <t>Local timber shop</t>
  </si>
  <si>
    <t>E4</t>
  </si>
  <si>
    <t>Mild Steel Flat Bar 50×4mm — Fishplates</t>
  </si>
  <si>
    <t>Local steel shop</t>
  </si>
  <si>
    <t>E5</t>
  </si>
  <si>
    <t>M5 Hex Bolts + Nuts + Washers (40 pcs)</t>
  </si>
  <si>
    <t>E6</t>
  </si>
  <si>
    <t>Acrylic Sheet 200×150×3mm Clear</t>
  </si>
  <si>
    <t>FILL IN</t>
  </si>
  <si>
    <t>OPTIONAL — HC-12 Wireless Expansion</t>
  </si>
  <si>
    <t>HC1</t>
  </si>
  <si>
    <t>HC-12 433MHz SI4463 Wireless Serial Module</t>
  </si>
  <si>
    <t>Optional</t>
  </si>
  <si>
    <t>https://www.amazon.in/Robodo-Electronics-HC12433-Wireless-Antenna/dp/B07B8KHZ71/ref=sr_1_1?crid=NO9GO0SX2KY9&amp;dib=eyJ2IjoiMSJ9.xZfUGCAuaGFrpjgvom0D8TGRjKzQkZziAU7_EureKcVfbYZOb-r-UznryJ215bVjKUxZobAW_qsGdyxh8b8DhNqb-ZjpKruoFEqDehLJ6y0ckizj0U9ugDKIpb60MGl1nygB1b-WcyKTP3B4D2F-W2yuFtG2GUPZ6MJHqLoSiUQz1IeM-v9wKIK7MbnZd6zssbmRiobRUcXje43phtzDOPFPI4EWA-bKTzcQvUuyF44lnrMePo-NHt7pFq62dPChEQ2YWhyo_I7ddcc0K0W9UPj0TSJVQ9WBwlgLkKYr7dE.2Jh_jYcYzqKIO7utVt7G18cSkF0yYC9UdScyBLn9JtI&amp;dib_tag=se&amp;keywords=hc-12+wireless+module&amp;qid=1780122218&amp;sprefix=hc-12+%2Caps%2C338&amp;sr=8-1</t>
  </si>
  <si>
    <t>COST SUMMARY</t>
  </si>
  <si>
    <t>Confirmed prices subtotal (V1, V2, V3, A1, A2, A3)</t>
  </si>
  <si>
    <t>Remaining items (fill in yellow price cells above)</t>
  </si>
  <si>
    <t>—</t>
  </si>
  <si>
    <t>← Fill yellow cells to update total</t>
  </si>
  <si>
    <t>https://robocraze.com/products/usb-to-micro-usb-cable?variant=40192442007705&amp;country=IN&amp;currency=INR&amp;utm_medium=product_sync&amp;utm_source=google&amp;utm_content=sag_organic&amp;utm_campaign=sag_organic&amp;utm_source=google&amp;utm_medium=cpc&amp;utm_campaign=BL+%7C+Pmax+%7C+Feed+Only+%7C+All+Products+%7C+Top+5+Cities+%7C22%2F06&amp;utm_source=googleads&amp;utm_medium=ppc&amp;utm_campaign=21400046529&amp;utm_content=_&amp;utm_term=&amp;campaignid=21400046529&amp;adgroupid=&amp;campaign=21400046529&amp;gad_source=1&amp;gad_campaignid=21406494659&amp;gbraid=0AAAAADgHQvZ4XIipfttavdzq1ybbWdSuZ&amp;gclid=Cj0KCQjw54nRBhDCARIsAMcY_SDUNGOed0udLT580E6S5Cu-FZBQZTRL5TrtyaH-NLC91gypmY9lckIaAvYUEALw_wcB</t>
  </si>
  <si>
    <t>← Sum of all confirmed rows(without optional)</t>
  </si>
  <si>
    <t>DONE-amazon.in</t>
  </si>
  <si>
    <t>RECEIVED- robu.in</t>
  </si>
  <si>
    <t>3Kg Load Cell – Electronic Weighing Scale Sensor</t>
  </si>
  <si>
    <t>RECEIVED- amazon.in</t>
  </si>
  <si>
    <t>RECIEVED-amazon.in</t>
  </si>
  <si>
    <t>RECIEVED-Home</t>
  </si>
  <si>
    <t>MPU6050 3-Axis Gyroscope and Accelerometer Sensor Module, I2C Interface, GY-521 Breakout Board</t>
  </si>
  <si>
    <t>https://www.amazon.in/dp/B0GRSFL6MY?ref_=pe_112071901_1111297901_t_fed_asin_title</t>
  </si>
  <si>
    <t>https://www.amazon.in/dp/B0D6LRHHVZ?ref_=pe_112071901_1111297901_t_fed_asin_title</t>
  </si>
  <si>
    <t>RECEIVED-amazon.in</t>
  </si>
  <si>
    <t>RECEIVED-Robobazaar</t>
  </si>
  <si>
    <t>Green general purpose PCB approx 15 cm 15 cm</t>
  </si>
  <si>
    <t>6 male headers</t>
  </si>
  <si>
    <t>6 female headers</t>
  </si>
  <si>
    <t>twisted pair multi thread wire of 5m</t>
  </si>
  <si>
    <t>https://robu.in/product/2-54mm-1x40-pin-female-single-row-header-strip-pack-of-10/?gad_source=1&amp;gad_campaignid=17427802703&amp;gbraid=0AAAAADvLFWfdp2jpDwzlsM6H3StQ0X1km&amp;gclid=Cj0KCQjw_7PRBhDcARIsAMjV7jn2DjzoL-REag58X99J_k7PmhMrb6LYmyZgsLdEFRMSQsYtVBHFn_QaAsk9EALw_wcB</t>
  </si>
  <si>
    <t>https://robu.in/product/1x40-berg-strip-male-connector/?gad_source=1&amp;gad_campaignid=17427802703&amp;gbraid=0AAAAADvLFWfdp2jpDwzlsM6H3StQ0X1km&amp;gclid=Cj0KCQjw_7PRBhDcARIsAMjV7jk6l4-nAk9a08fptoSuI310AMpd3BvhMaVo_9w0Hd33licuIPSnxdsaApFhEALw_wcB</t>
  </si>
  <si>
    <t>From classmate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</si>
</sst>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#,##0"/>
  </numFmts>
  <fonts count="38">
    <font>
      <sz val="11"/>
      <color theme="1"/>
      <name val="Calibri"/>
      <family val="2"/>
      <charset val="1"/>
    </font>
    <font>
      <b/>
      <sz val="14"/>
      <color rgb="FFF5A623"/>
      <name val="Arial"/>
      <charset val="1"/>
    </font>
    <font>
      <sz val="10"/>
      <color rgb="FF8892AA"/>
      <name val="Arial"/>
      <charset val="1"/>
    </font>
    <font>
      <i/>
      <sz val="9"/>
      <color rgb="FFFFD54F"/>
      <name val="Arial"/>
      <charset val="1"/>
    </font>
    <font>
      <b/>
      <sz val="10"/>
      <color rgb="FFF5A623"/>
      <name val="Arial"/>
      <charset val="1"/>
    </font>
    <font>
      <b/>
      <sz val="11"/>
      <color rgb="FFF5A623"/>
      <name val="Arial"/>
      <charset val="1"/>
    </font>
    <font>
      <sz val="10"/>
      <color rgb="FFFFFFFF"/>
      <name val="Arial"/>
      <charset val="1"/>
    </font>
    <font>
      <sz val="10"/>
      <color rgb="FF4FC3F7"/>
      <name val="Arial"/>
      <charset val="1"/>
    </font>
    <font>
      <b/>
      <sz val="10"/>
      <color rgb="FFFFFFFF"/>
      <name val="Arial"/>
      <charset val="1"/>
    </font>
    <font>
      <sz val="10"/>
      <color rgb="FF66BB6A"/>
      <name val="Arial"/>
      <charset val="1"/>
    </font>
    <font>
      <u/>
      <sz val="9"/>
      <color rgb="FF4FC3F7"/>
      <name val="Arial"/>
      <charset val="1"/>
    </font>
    <font>
      <b/>
      <sz val="10"/>
      <color theme="0"/>
      <name val="Arial"/>
      <family val="2"/>
      <charset val="1"/>
    </font>
    <font>
      <b/>
      <sz val="10"/>
      <color rgb="FFFFC000"/>
      <name val="Arial"/>
      <family val="2"/>
      <charset val="1"/>
    </font>
    <font>
      <sz val="10"/>
      <color rgb="FF92D050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color rgb="FFFFFFFF"/>
      <name val="Arial"/>
      <family val="2"/>
      <charset val="1"/>
    </font>
    <font>
      <b/>
      <sz val="10"/>
      <color rgb="FFF5A623"/>
      <name val="Arial"/>
      <family val="2"/>
      <charset val="1"/>
    </font>
    <font>
      <sz val="11"/>
      <color rgb="FF00B0F0"/>
      <name val="Calibri"/>
      <family val="2"/>
      <charset val="1"/>
    </font>
    <font>
      <sz val="9"/>
      <color rgb="FF4FC3F7"/>
      <name val="Arial"/>
      <family val="2"/>
      <charset val="1"/>
    </font>
    <font>
      <sz val="10"/>
      <color rgb="FF545F7A"/>
      <name val="Arial"/>
      <charset val="1"/>
    </font>
    <font>
      <sz val="9"/>
      <color rgb="FF8892AA"/>
      <name val="Arial"/>
      <charset val="1"/>
    </font>
    <font>
      <sz val="10"/>
      <color rgb="FFFFD54F"/>
      <name val="Arial"/>
      <charset val="1"/>
    </font>
    <font>
      <sz val="10"/>
      <color rgb="FFFFD54F"/>
      <name val="Arial"/>
      <family val="2"/>
      <charset val="1"/>
    </font>
    <font>
      <i/>
      <sz val="9"/>
      <color rgb="FF66BB6A"/>
      <name val="Arial"/>
      <charset val="1"/>
    </font>
    <font>
      <sz val="11"/>
      <color rgb="FFFFFF00"/>
      <name val="Calibri"/>
      <family val="2"/>
      <charset val="1"/>
    </font>
    <font>
      <b/>
      <sz val="11"/>
      <color rgb="FFFFFF00"/>
      <name val="Calibri"/>
      <family val="2"/>
    </font>
    <font>
      <sz val="11"/>
      <color theme="0"/>
      <name val="Calibri"/>
      <family val="2"/>
      <charset val="1"/>
    </font>
    <font>
      <sz val="11"/>
      <color theme="0" tint="-4.9989318521683403E-2"/>
      <name val="Calibri"/>
      <family val="2"/>
      <charset val="1"/>
    </font>
    <font>
      <sz val="11"/>
      <color rgb="FF92D050"/>
      <name val="Calibri"/>
      <family val="2"/>
      <charset val="1"/>
    </font>
    <font>
      <b/>
      <sz val="11"/>
      <color theme="0"/>
      <name val="Calibri"/>
      <family val="2"/>
    </font>
    <font>
      <sz val="11"/>
      <color rgb="FF0070C0"/>
      <name val="Calibri"/>
      <family val="2"/>
      <charset val="1"/>
    </font>
    <font>
      <i/>
      <sz val="9"/>
      <color rgb="FF66BB6A"/>
      <name val="Arial"/>
      <family val="2"/>
    </font>
    <font>
      <b/>
      <sz val="10"/>
      <color theme="0"/>
      <name val="System-ui"/>
    </font>
    <font>
      <u/>
      <sz val="9"/>
      <color rgb="FF4FC3F7"/>
      <name val="Arial"/>
      <family val="2"/>
    </font>
    <font>
      <b/>
      <sz val="10"/>
      <color rgb="FFF5A623"/>
      <name val="Arial"/>
      <family val="2"/>
    </font>
    <font>
      <sz val="10"/>
      <color rgb="FFFFFFFF"/>
      <name val="Arial"/>
      <family val="2"/>
    </font>
    <font>
      <sz val="10"/>
      <color rgb="FF66BB6A"/>
      <name val="Arial"/>
      <family val="2"/>
    </font>
    <font>
      <sz val="11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D0F14"/>
        <bgColor rgb="FF13161F"/>
      </patternFill>
    </fill>
    <fill>
      <patternFill patternType="solid">
        <fgColor rgb="FF1A160A"/>
        <bgColor rgb="FF1E1C11"/>
      </patternFill>
    </fill>
    <fill>
      <patternFill patternType="solid">
        <fgColor rgb="FF252A3A"/>
        <bgColor rgb="FF22201A"/>
      </patternFill>
    </fill>
    <fill>
      <patternFill patternType="solid">
        <fgColor rgb="FF2A1A1A"/>
        <bgColor rgb="FF22201A"/>
      </patternFill>
    </fill>
    <fill>
      <patternFill patternType="solid">
        <fgColor rgb="FF1A2212"/>
        <bgColor rgb="FF1E1C11"/>
      </patternFill>
    </fill>
    <fill>
      <patternFill patternType="solid">
        <fgColor rgb="FF1A1A2A"/>
        <bgColor rgb="FF1E1A28"/>
      </patternFill>
    </fill>
    <fill>
      <patternFill patternType="solid">
        <fgColor rgb="FF121A22"/>
        <bgColor rgb="FF13161F"/>
      </patternFill>
    </fill>
    <fill>
      <patternFill patternType="solid">
        <fgColor rgb="FF12221A"/>
        <bgColor rgb="FF1A2212"/>
      </patternFill>
    </fill>
    <fill>
      <patternFill patternType="solid">
        <fgColor rgb="FF22201A"/>
        <bgColor rgb="FF1E1C11"/>
      </patternFill>
    </fill>
    <fill>
      <patternFill patternType="solid">
        <fgColor theme="2" tint="-0.89999084444715716"/>
        <bgColor rgb="FF22201A"/>
      </patternFill>
    </fill>
    <fill>
      <patternFill patternType="solid">
        <fgColor rgb="FF1E1A28"/>
        <bgColor rgb="FF1A1A2A"/>
      </patternFill>
    </fill>
    <fill>
      <patternFill patternType="solid">
        <fgColor rgb="FF1E1228"/>
        <bgColor rgb="FF1E1A28"/>
      </patternFill>
    </fill>
    <fill>
      <patternFill patternType="solid">
        <fgColor rgb="FF13161F"/>
        <bgColor rgb="FF121A22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252A3A"/>
      </left>
      <right style="thin">
        <color rgb="FF252A3A"/>
      </right>
      <top style="thin">
        <color rgb="FF252A3A"/>
      </top>
      <bottom style="thin">
        <color rgb="FF252A3A"/>
      </bottom>
      <diagonal/>
    </border>
    <border>
      <left style="thin">
        <color rgb="FF252A3A"/>
      </left>
      <right/>
      <top style="thin">
        <color rgb="FF252A3A"/>
      </top>
      <bottom style="thin">
        <color rgb="FF252A3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52A3A"/>
      </left>
      <right style="thin">
        <color rgb="FF252A3A"/>
      </right>
      <top style="thin">
        <color rgb="FF252A3A"/>
      </top>
      <bottom/>
      <diagonal/>
    </border>
    <border>
      <left style="thin">
        <color rgb="FF252A3A"/>
      </left>
      <right/>
      <top/>
      <bottom style="thin">
        <color rgb="FF252A3A"/>
      </bottom>
      <diagonal/>
    </border>
  </borders>
  <cellStyleXfs count="2">
    <xf numFmtId="0" fontId="0" fillId="0" borderId="0"/>
    <xf numFmtId="0" fontId="14" fillId="0" borderId="0"/>
  </cellStyleXfs>
  <cellXfs count="12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 wrapText="1"/>
    </xf>
    <xf numFmtId="0" fontId="14" fillId="10" borderId="1" xfId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right" vertical="center"/>
    </xf>
    <xf numFmtId="0" fontId="20" fillId="12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right" vertical="center"/>
    </xf>
    <xf numFmtId="0" fontId="22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164" fontId="5" fillId="14" borderId="1" xfId="0" applyNumberFormat="1" applyFont="1" applyFill="1" applyBorder="1" applyAlignment="1">
      <alignment horizontal="right" vertical="center"/>
    </xf>
    <xf numFmtId="0" fontId="19" fillId="14" borderId="1" xfId="0" applyFont="1" applyFill="1" applyBorder="1" applyAlignment="1">
      <alignment horizontal="right" vertical="center"/>
    </xf>
    <xf numFmtId="0" fontId="33" fillId="9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left" vertical="center" wrapText="1"/>
    </xf>
    <xf numFmtId="0" fontId="36" fillId="5" borderId="2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right" vertical="center"/>
    </xf>
    <xf numFmtId="0" fontId="12" fillId="10" borderId="4" xfId="0" applyFont="1" applyFill="1" applyBorder="1" applyAlignment="1">
      <alignment horizontal="right" vertical="center"/>
    </xf>
    <xf numFmtId="0" fontId="13" fillId="10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left" vertical="center"/>
    </xf>
    <xf numFmtId="0" fontId="26" fillId="15" borderId="3" xfId="0" applyFont="1" applyFill="1" applyBorder="1" applyAlignment="1">
      <alignment vertical="center"/>
    </xf>
    <xf numFmtId="0" fontId="24" fillId="15" borderId="3" xfId="0" applyFont="1" applyFill="1" applyBorder="1" applyAlignment="1">
      <alignment vertical="center"/>
    </xf>
    <xf numFmtId="0" fontId="30" fillId="15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5" fillId="15" borderId="0" xfId="0" applyFont="1" applyFill="1" applyAlignment="1">
      <alignment vertical="center"/>
    </xf>
    <xf numFmtId="0" fontId="26" fillId="15" borderId="0" xfId="0" applyFont="1" applyFill="1" applyAlignment="1">
      <alignment vertical="center"/>
    </xf>
    <xf numFmtId="0" fontId="27" fillId="15" borderId="0" xfId="0" applyFont="1" applyFill="1" applyAlignment="1">
      <alignment vertical="center"/>
    </xf>
    <xf numFmtId="0" fontId="29" fillId="15" borderId="0" xfId="0" applyFont="1" applyFill="1" applyAlignment="1">
      <alignment vertical="center"/>
    </xf>
    <xf numFmtId="0" fontId="28" fillId="15" borderId="0" xfId="0" applyFont="1" applyFill="1" applyAlignment="1">
      <alignment vertical="center"/>
    </xf>
    <xf numFmtId="0" fontId="30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14" fillId="15" borderId="0" xfId="1" applyFill="1" applyAlignment="1">
      <alignment vertical="center"/>
    </xf>
    <xf numFmtId="0" fontId="32" fillId="15" borderId="0" xfId="0" applyFont="1" applyFill="1" applyAlignment="1">
      <alignment vertical="center"/>
    </xf>
    <xf numFmtId="0" fontId="17" fillId="11" borderId="0" xfId="0" applyFont="1" applyFill="1" applyAlignment="1">
      <alignment vertical="center"/>
    </xf>
    <xf numFmtId="0" fontId="26" fillId="15" borderId="0" xfId="0" applyFont="1" applyFill="1" applyBorder="1" applyAlignment="1">
      <alignment vertical="center"/>
    </xf>
    <xf numFmtId="0" fontId="24" fillId="15" borderId="0" xfId="0" applyFont="1" applyFill="1" applyBorder="1" applyAlignment="1">
      <alignment vertical="center"/>
    </xf>
    <xf numFmtId="0" fontId="30" fillId="15" borderId="0" xfId="0" applyFont="1" applyFill="1" applyBorder="1" applyAlignment="1">
      <alignment vertical="center"/>
    </xf>
    <xf numFmtId="0" fontId="14" fillId="15" borderId="0" xfId="1" applyFill="1"/>
    <xf numFmtId="0" fontId="17" fillId="15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26" fillId="15" borderId="3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7" fillId="16" borderId="0" xfId="0" applyFont="1" applyFill="1" applyAlignment="1">
      <alignment vertical="center" wrapText="1"/>
    </xf>
    <xf numFmtId="0" fontId="5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3" borderId="5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31" fillId="14" borderId="1" xfId="0" applyFont="1" applyFill="1" applyBorder="1" applyAlignment="1">
      <alignment horizontal="left" vertical="center"/>
    </xf>
    <xf numFmtId="0" fontId="23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1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E1C11"/>
      <rgbColor rgb="FF008000"/>
      <rgbColor rgb="FF1E1228"/>
      <rgbColor rgb="FF808000"/>
      <rgbColor rgb="FF121A22"/>
      <rgbColor rgb="FF008080"/>
      <rgbColor rgb="FFC0C0C0"/>
      <rgbColor rgb="FF808080"/>
      <rgbColor rgb="FF9999FF"/>
      <rgbColor rgb="FF993366"/>
      <rgbColor rgb="FFFFFFCC"/>
      <rgbColor rgb="FFCCFFFF"/>
      <rgbColor rgb="FF2A1A1A"/>
      <rgbColor rgb="FFFF8080"/>
      <rgbColor rgb="FF0066CC"/>
      <rgbColor rgb="FFCCCCFF"/>
      <rgbColor rgb="FF13161F"/>
      <rgbColor rgb="FFFF00FF"/>
      <rgbColor rgb="FFFFFF00"/>
      <rgbColor rgb="FF00FFFF"/>
      <rgbColor rgb="FF0D0F14"/>
      <rgbColor rgb="FF1A160A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54F"/>
      <rgbColor rgb="FF3366FF"/>
      <rgbColor rgb="FF4FC3F7"/>
      <rgbColor rgb="FF92D050"/>
      <rgbColor rgb="FFFFC000"/>
      <rgbColor rgb="FFF5A623"/>
      <rgbColor rgb="FFFF6600"/>
      <rgbColor rgb="FF545F7A"/>
      <rgbColor rgb="FF8892AA"/>
      <rgbColor rgb="FF1A1A2A"/>
      <rgbColor rgb="FF66BB6A"/>
      <rgbColor rgb="FF12221A"/>
      <rgbColor rgb="FF22201A"/>
      <rgbColor rgb="FF1A2212"/>
      <rgbColor rgb="FF993366"/>
      <rgbColor rgb="FF1E1A28"/>
      <rgbColor rgb="FF25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waveshare-esp32-s3-mini-development-board-based-on-esp32-s3fh4r2-dual-core-processor-240mhz-running-frequency-2-4ghz-wi-fi-bluetooth-5/" TargetMode="External"/><Relationship Id="rId3" Type="http://schemas.openxmlformats.org/officeDocument/2006/relationships/hyperlink" Target="https://www.amazon.in/dp/B0G25RTZ1P" TargetMode="External"/><Relationship Id="rId7" Type="http://schemas.openxmlformats.org/officeDocument/2006/relationships/hyperlink" Target="https://robu.in/product/hx711-weighing-sensor-dual-channel-24-bit-precision-ad-weight-pressure-sensor/" TargetMode="External"/><Relationship Id="rId2" Type="http://schemas.openxmlformats.org/officeDocument/2006/relationships/hyperlink" Target="https://robu.in/product/l298n-2a-based-motor-driver-module-good-quality/" TargetMode="External"/><Relationship Id="rId1" Type="http://schemas.openxmlformats.org/officeDocument/2006/relationships/hyperlink" Target="https://robu.in/product/sector-775-dc12-4000rpm-min-sector-shape-high-speed-strong-vibration-motor-with-vibrating-head/" TargetMode="External"/><Relationship Id="rId6" Type="http://schemas.openxmlformats.org/officeDocument/2006/relationships/hyperlink" Target="https://robu.in/product-category/hardware-components/" TargetMode="External"/><Relationship Id="rId5" Type="http://schemas.openxmlformats.org/officeDocument/2006/relationships/hyperlink" Target="https://robu.in/product/yellow-3-9v-6mm-led-metal-indicator-light-with-15cm-cable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robu.in/product/cjmcu-tca9548a-i2c-8-channel-multiple-extensions-development-board/" TargetMode="External"/><Relationship Id="rId9" Type="http://schemas.openxmlformats.org/officeDocument/2006/relationships/hyperlink" Target="https://www.amazon.in/dp/B0GRSFL6MY?ref_=pe_112071901_1111297901_t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C1" zoomScale="99" zoomScaleNormal="100" workbookViewId="0">
      <pane ySplit="4" topLeftCell="A11" activePane="bottomLeft" state="frozen"/>
      <selection pane="bottomLeft" activeCell="I15" sqref="I15"/>
    </sheetView>
  </sheetViews>
  <sheetFormatPr defaultColWidth="8.6640625" defaultRowHeight="14.4"/>
  <cols>
    <col min="1" max="1" width="8" style="84" customWidth="1"/>
    <col min="2" max="2" width="23.109375" style="84" customWidth="1"/>
    <col min="3" max="3" width="44" style="84" customWidth="1"/>
    <col min="4" max="4" width="26" style="84" customWidth="1"/>
    <col min="5" max="5" width="10" style="84" customWidth="1"/>
    <col min="6" max="7" width="16" style="84" customWidth="1"/>
    <col min="8" max="8" width="14" style="84" customWidth="1"/>
    <col min="9" max="9" width="13.6640625" style="84" customWidth="1"/>
    <col min="10" max="16384" width="8.6640625" style="84"/>
  </cols>
  <sheetData>
    <row r="1" spans="1:9" ht="30" customHeight="1">
      <c r="A1" s="116" t="s">
        <v>0</v>
      </c>
      <c r="B1" s="116"/>
      <c r="C1" s="116"/>
      <c r="D1" s="116"/>
      <c r="E1" s="116"/>
      <c r="F1" s="116"/>
      <c r="G1" s="116"/>
      <c r="H1" s="116"/>
      <c r="I1" s="116"/>
    </row>
    <row r="2" spans="1:9" ht="18" customHeight="1">
      <c r="A2" s="117" t="s">
        <v>1</v>
      </c>
      <c r="B2" s="117"/>
      <c r="C2" s="117"/>
      <c r="D2" s="117"/>
      <c r="E2" s="117"/>
      <c r="F2" s="117"/>
      <c r="G2" s="117"/>
      <c r="H2" s="117"/>
      <c r="I2" s="117"/>
    </row>
    <row r="3" spans="1:9" ht="36" customHeight="1">
      <c r="A3" s="118" t="s">
        <v>2</v>
      </c>
      <c r="B3" s="118"/>
      <c r="C3" s="118"/>
      <c r="D3" s="118"/>
      <c r="E3" s="118"/>
      <c r="F3" s="118"/>
      <c r="G3" s="118"/>
      <c r="H3" s="118"/>
      <c r="I3" s="118"/>
    </row>
    <row r="4" spans="1:9" ht="19.5" customHeight="1">
      <c r="A4" s="1" t="s">
        <v>3</v>
      </c>
      <c r="B4" s="1"/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1.75" customHeight="1">
      <c r="A5" s="119" t="s">
        <v>11</v>
      </c>
      <c r="B5" s="119"/>
      <c r="C5" s="119"/>
      <c r="D5" s="119"/>
      <c r="E5" s="119"/>
      <c r="F5" s="119"/>
      <c r="G5" s="119"/>
      <c r="H5" s="119"/>
      <c r="I5" s="119"/>
    </row>
    <row r="6" spans="1:9" ht="27.75" customHeight="1">
      <c r="A6" s="2" t="s">
        <v>12</v>
      </c>
      <c r="B6" s="2" t="s">
        <v>117</v>
      </c>
      <c r="C6" s="3" t="s">
        <v>13</v>
      </c>
      <c r="D6" s="4" t="s">
        <v>14</v>
      </c>
      <c r="E6" s="5">
        <v>3</v>
      </c>
      <c r="F6" s="6">
        <v>875</v>
      </c>
      <c r="G6" s="7">
        <f>E6*F6</f>
        <v>2625</v>
      </c>
      <c r="H6" s="8" t="s">
        <v>15</v>
      </c>
      <c r="I6" s="9" t="s">
        <v>16</v>
      </c>
    </row>
    <row r="7" spans="1:9" ht="27.75" customHeight="1">
      <c r="A7" s="2" t="s">
        <v>17</v>
      </c>
      <c r="B7" s="2" t="s">
        <v>117</v>
      </c>
      <c r="C7" s="3" t="s">
        <v>18</v>
      </c>
      <c r="D7" s="4" t="s">
        <v>14</v>
      </c>
      <c r="E7" s="5">
        <v>1</v>
      </c>
      <c r="F7" s="6">
        <v>123</v>
      </c>
      <c r="G7" s="7">
        <v>123</v>
      </c>
      <c r="H7" s="8" t="s">
        <v>15</v>
      </c>
      <c r="I7" s="9" t="s">
        <v>16</v>
      </c>
    </row>
    <row r="8" spans="1:9" ht="27.75" customHeight="1"/>
    <row r="9" spans="1:9" ht="27.75" customHeight="1"/>
    <row r="10" spans="1:9" ht="21.75" customHeight="1">
      <c r="A10" s="120" t="s">
        <v>21</v>
      </c>
      <c r="B10" s="120"/>
      <c r="C10" s="120"/>
      <c r="D10" s="120"/>
      <c r="E10" s="120"/>
      <c r="F10" s="120"/>
      <c r="G10" s="120"/>
      <c r="H10" s="120"/>
      <c r="I10" s="120"/>
    </row>
    <row r="11" spans="1:9" ht="27.75" customHeight="1">
      <c r="A11" s="10" t="s">
        <v>22</v>
      </c>
      <c r="B11" s="10" t="s">
        <v>117</v>
      </c>
      <c r="C11" s="11" t="s">
        <v>23</v>
      </c>
      <c r="D11" s="12" t="s">
        <v>24</v>
      </c>
      <c r="E11" s="13">
        <v>2</v>
      </c>
      <c r="F11" s="14">
        <v>604</v>
      </c>
      <c r="G11" s="15">
        <f>604*2</f>
        <v>1208</v>
      </c>
      <c r="H11" s="16" t="s">
        <v>15</v>
      </c>
      <c r="I11" s="98" t="s">
        <v>25</v>
      </c>
    </row>
    <row r="12" spans="1:9" ht="27.75" customHeight="1">
      <c r="A12" s="10" t="s">
        <v>26</v>
      </c>
      <c r="B12" s="103" t="s">
        <v>125</v>
      </c>
      <c r="C12" s="104" t="s">
        <v>122</v>
      </c>
      <c r="D12" s="12" t="s">
        <v>24</v>
      </c>
      <c r="E12" s="13">
        <v>5</v>
      </c>
      <c r="F12" s="14">
        <v>209</v>
      </c>
      <c r="G12" s="15">
        <f>E12*F12</f>
        <v>1045</v>
      </c>
      <c r="H12" s="16" t="s">
        <v>15</v>
      </c>
      <c r="I12" s="121" t="s">
        <v>123</v>
      </c>
    </row>
    <row r="13" spans="1:9" ht="27.75" customHeight="1">
      <c r="A13" s="10" t="s">
        <v>27</v>
      </c>
      <c r="B13" s="10" t="s">
        <v>117</v>
      </c>
      <c r="C13" s="11" t="s">
        <v>28</v>
      </c>
      <c r="D13" s="12" t="s">
        <v>24</v>
      </c>
      <c r="E13" s="13">
        <v>1</v>
      </c>
      <c r="F13" s="14">
        <v>63</v>
      </c>
      <c r="G13" s="15">
        <f>E13*F13</f>
        <v>63</v>
      </c>
      <c r="H13" s="16" t="s">
        <v>15</v>
      </c>
      <c r="I13" s="17" t="s">
        <v>16</v>
      </c>
    </row>
    <row r="14" spans="1:9" ht="27.75" customHeight="1">
      <c r="A14" s="10" t="s">
        <v>29</v>
      </c>
      <c r="B14" s="10" t="s">
        <v>125</v>
      </c>
      <c r="C14" s="11" t="s">
        <v>30</v>
      </c>
      <c r="D14" s="12" t="s">
        <v>24</v>
      </c>
      <c r="E14" s="13">
        <v>1</v>
      </c>
      <c r="F14" s="18">
        <v>110</v>
      </c>
      <c r="G14" s="19">
        <v>110</v>
      </c>
      <c r="H14" s="20" t="s">
        <v>15</v>
      </c>
      <c r="I14" s="121" t="s">
        <v>31</v>
      </c>
    </row>
    <row r="15" spans="1:9" ht="27.75" customHeight="1"/>
    <row r="16" spans="1:9" s="91" customFormat="1" ht="21.75" customHeight="1">
      <c r="A16" s="85" t="s">
        <v>36</v>
      </c>
      <c r="B16" s="85" t="s">
        <v>126</v>
      </c>
      <c r="C16" s="86" t="s">
        <v>118</v>
      </c>
      <c r="D16" s="87" t="s">
        <v>24</v>
      </c>
      <c r="E16" s="99">
        <v>1</v>
      </c>
      <c r="F16" s="88">
        <v>127</v>
      </c>
      <c r="G16" s="85">
        <f>E16*F16</f>
        <v>127</v>
      </c>
      <c r="H16" s="89" t="s">
        <v>15</v>
      </c>
      <c r="I16" s="90" t="s">
        <v>37</v>
      </c>
    </row>
    <row r="17" spans="1:9" s="91" customFormat="1" ht="27.75" customHeight="1">
      <c r="A17" s="85" t="s">
        <v>38</v>
      </c>
      <c r="B17" s="85" t="s">
        <v>117</v>
      </c>
      <c r="C17" s="86" t="s">
        <v>39</v>
      </c>
      <c r="D17" s="87" t="s">
        <v>24</v>
      </c>
      <c r="E17" s="99">
        <v>4</v>
      </c>
      <c r="F17" s="88">
        <v>64</v>
      </c>
      <c r="G17" s="85">
        <f>E17*F17</f>
        <v>256</v>
      </c>
      <c r="H17" s="89" t="s">
        <v>15</v>
      </c>
      <c r="I17" s="90" t="s">
        <v>40</v>
      </c>
    </row>
    <row r="18" spans="1:9" s="91" customFormat="1" ht="27.75" customHeight="1">
      <c r="A18" s="85" t="s">
        <v>41</v>
      </c>
      <c r="B18" s="85" t="s">
        <v>117</v>
      </c>
      <c r="C18" s="86" t="s">
        <v>42</v>
      </c>
      <c r="D18" s="87" t="s">
        <v>24</v>
      </c>
      <c r="E18" s="99">
        <v>2</v>
      </c>
      <c r="F18" s="88">
        <v>42</v>
      </c>
      <c r="G18" s="85">
        <f>E18*F18</f>
        <v>84</v>
      </c>
      <c r="H18" s="89" t="s">
        <v>15</v>
      </c>
      <c r="I18" s="92" t="s">
        <v>43</v>
      </c>
    </row>
    <row r="19" spans="1:9" ht="27.75" customHeight="1">
      <c r="A19" s="105" t="s">
        <v>44</v>
      </c>
      <c r="B19" s="105"/>
      <c r="C19" s="105"/>
      <c r="D19" s="105"/>
      <c r="E19" s="105"/>
      <c r="F19" s="105"/>
      <c r="G19" s="105"/>
      <c r="H19" s="105"/>
      <c r="I19" s="105"/>
    </row>
    <row r="20" spans="1:9" ht="21.75" customHeight="1">
      <c r="A20" s="22" t="s">
        <v>45</v>
      </c>
      <c r="B20" s="22" t="s">
        <v>117</v>
      </c>
      <c r="C20" s="23" t="s">
        <v>46</v>
      </c>
      <c r="D20" s="24" t="s">
        <v>47</v>
      </c>
      <c r="E20" s="25">
        <v>1</v>
      </c>
      <c r="F20" s="18">
        <v>81</v>
      </c>
      <c r="G20" s="26">
        <v>81</v>
      </c>
      <c r="H20" s="27" t="s">
        <v>15</v>
      </c>
      <c r="I20" s="28" t="s">
        <v>48</v>
      </c>
    </row>
    <row r="21" spans="1:9" ht="21.75" customHeight="1">
      <c r="A21" s="22" t="s">
        <v>49</v>
      </c>
      <c r="B21" s="102" t="s">
        <v>125</v>
      </c>
      <c r="C21" s="29" t="s">
        <v>50</v>
      </c>
      <c r="D21" s="24" t="s">
        <v>47</v>
      </c>
      <c r="E21" s="25">
        <v>1</v>
      </c>
      <c r="F21" s="18">
        <v>199</v>
      </c>
      <c r="G21" s="26">
        <v>199</v>
      </c>
      <c r="H21" s="27" t="s">
        <v>15</v>
      </c>
      <c r="I21" s="28" t="s">
        <v>124</v>
      </c>
    </row>
    <row r="22" spans="1:9" ht="27.75" customHeight="1">
      <c r="A22" s="106" t="s">
        <v>51</v>
      </c>
      <c r="B22" s="106"/>
      <c r="C22" s="106"/>
      <c r="D22" s="106"/>
      <c r="E22" s="106"/>
      <c r="F22" s="106"/>
      <c r="G22" s="106"/>
      <c r="H22" s="106"/>
      <c r="I22" s="106"/>
    </row>
    <row r="23" spans="1:9" ht="27.75" customHeight="1">
      <c r="A23" s="30"/>
      <c r="B23" s="30"/>
      <c r="C23" s="31"/>
      <c r="D23" s="32"/>
      <c r="E23" s="33"/>
      <c r="F23" s="18"/>
      <c r="G23" s="34"/>
      <c r="H23" s="35"/>
      <c r="I23" s="64"/>
    </row>
    <row r="24" spans="1:9" s="91" customFormat="1" ht="27.75" customHeight="1">
      <c r="A24" s="86" t="s">
        <v>53</v>
      </c>
      <c r="B24" s="88" t="s">
        <v>117</v>
      </c>
      <c r="C24" s="86" t="s">
        <v>54</v>
      </c>
      <c r="D24" s="86" t="s">
        <v>52</v>
      </c>
      <c r="E24" s="100">
        <v>1</v>
      </c>
      <c r="F24" s="86">
        <v>125</v>
      </c>
      <c r="G24" s="86">
        <f>E24*F24</f>
        <v>125</v>
      </c>
      <c r="H24" s="86" t="s">
        <v>15</v>
      </c>
      <c r="I24" s="90" t="s">
        <v>55</v>
      </c>
    </row>
    <row r="25" spans="1:9" s="91" customFormat="1" ht="32.4" customHeight="1">
      <c r="A25" s="86"/>
      <c r="B25" s="86"/>
      <c r="C25" s="93"/>
      <c r="D25" s="86"/>
      <c r="E25" s="100"/>
      <c r="F25" s="86"/>
      <c r="G25" s="86"/>
      <c r="H25" s="86"/>
      <c r="I25" s="90"/>
    </row>
    <row r="26" spans="1:9" ht="27.75" customHeight="1">
      <c r="A26" s="107" t="s">
        <v>56</v>
      </c>
      <c r="B26" s="107"/>
      <c r="C26" s="107"/>
      <c r="D26" s="107"/>
      <c r="E26" s="107"/>
      <c r="F26" s="107"/>
      <c r="G26" s="107"/>
      <c r="H26" s="107"/>
      <c r="I26" s="107"/>
    </row>
    <row r="27" spans="1:9" ht="21.75" customHeight="1">
      <c r="A27" s="36" t="s">
        <v>57</v>
      </c>
      <c r="B27" s="42" t="s">
        <v>120</v>
      </c>
      <c r="C27" s="37" t="s">
        <v>58</v>
      </c>
      <c r="D27" s="38" t="s">
        <v>59</v>
      </c>
      <c r="E27" s="39">
        <v>1</v>
      </c>
      <c r="F27" s="18">
        <v>73</v>
      </c>
      <c r="G27" s="40">
        <v>73</v>
      </c>
      <c r="H27" s="35" t="s">
        <v>15</v>
      </c>
      <c r="I27" s="41" t="s">
        <v>60</v>
      </c>
    </row>
    <row r="28" spans="1:9" ht="27.75" customHeight="1">
      <c r="A28" s="42" t="s">
        <v>61</v>
      </c>
      <c r="B28" s="42" t="s">
        <v>116</v>
      </c>
      <c r="C28" s="43" t="s">
        <v>62</v>
      </c>
      <c r="D28" s="38" t="s">
        <v>59</v>
      </c>
      <c r="E28" s="39">
        <v>1</v>
      </c>
      <c r="F28" s="18">
        <v>800</v>
      </c>
      <c r="G28" s="40">
        <v>800</v>
      </c>
      <c r="H28" s="35" t="s">
        <v>15</v>
      </c>
      <c r="I28" s="94" t="s">
        <v>63</v>
      </c>
    </row>
    <row r="29" spans="1:9" ht="27.75" customHeight="1">
      <c r="A29" s="36" t="s">
        <v>64</v>
      </c>
      <c r="B29" s="36" t="s">
        <v>117</v>
      </c>
      <c r="C29" s="43" t="s">
        <v>65</v>
      </c>
      <c r="D29" s="38" t="s">
        <v>59</v>
      </c>
      <c r="E29" s="39">
        <v>1</v>
      </c>
      <c r="F29" s="18">
        <v>253</v>
      </c>
      <c r="G29" s="40">
        <v>253</v>
      </c>
      <c r="H29" s="35" t="s">
        <v>15</v>
      </c>
      <c r="I29" s="44" t="s">
        <v>66</v>
      </c>
    </row>
    <row r="30" spans="1:9" ht="27.75" customHeight="1">
      <c r="A30" s="73" t="s">
        <v>67</v>
      </c>
      <c r="B30" s="73" t="s">
        <v>121</v>
      </c>
      <c r="C30" s="74" t="s">
        <v>68</v>
      </c>
      <c r="D30" s="75" t="s">
        <v>59</v>
      </c>
      <c r="E30" s="76">
        <v>1</v>
      </c>
      <c r="F30" s="77">
        <v>39</v>
      </c>
      <c r="G30" s="78">
        <v>39</v>
      </c>
      <c r="H30" s="79" t="s">
        <v>15</v>
      </c>
      <c r="I30" s="80" t="s">
        <v>114</v>
      </c>
    </row>
    <row r="31" spans="1:9" ht="27.75" customHeight="1">
      <c r="A31" s="81" t="s">
        <v>69</v>
      </c>
      <c r="B31" s="81" t="s">
        <v>117</v>
      </c>
      <c r="C31" s="81" t="s">
        <v>70</v>
      </c>
      <c r="D31" s="81" t="s">
        <v>59</v>
      </c>
      <c r="E31" s="101">
        <v>1</v>
      </c>
      <c r="F31" s="81">
        <v>40</v>
      </c>
      <c r="G31" s="82">
        <f>E31*F31</f>
        <v>40</v>
      </c>
      <c r="H31" s="81" t="s">
        <v>15</v>
      </c>
      <c r="I31" s="83" t="s">
        <v>71</v>
      </c>
    </row>
    <row r="32" spans="1:9" ht="27.75" customHeight="1">
      <c r="A32" s="81" t="s">
        <v>72</v>
      </c>
      <c r="B32" s="81" t="s">
        <v>117</v>
      </c>
      <c r="C32" s="81" t="s">
        <v>73</v>
      </c>
      <c r="D32" s="81" t="s">
        <v>59</v>
      </c>
      <c r="E32" s="101">
        <v>1</v>
      </c>
      <c r="F32" s="81">
        <v>44</v>
      </c>
      <c r="G32" s="82">
        <f>E32*F32</f>
        <v>44</v>
      </c>
      <c r="H32" s="81" t="s">
        <v>15</v>
      </c>
      <c r="I32" s="83" t="s">
        <v>74</v>
      </c>
    </row>
    <row r="33" spans="1:9" ht="27.75" customHeight="1">
      <c r="A33" s="81" t="s">
        <v>75</v>
      </c>
      <c r="B33" s="81" t="s">
        <v>117</v>
      </c>
      <c r="C33" s="81" t="s">
        <v>76</v>
      </c>
      <c r="D33" s="81" t="s">
        <v>59</v>
      </c>
      <c r="E33" s="101">
        <v>1</v>
      </c>
      <c r="F33" s="81">
        <v>14</v>
      </c>
      <c r="G33" s="82">
        <f>E33*F33</f>
        <v>14</v>
      </c>
      <c r="H33" s="81" t="s">
        <v>15</v>
      </c>
      <c r="I33" s="83" t="s">
        <v>77</v>
      </c>
    </row>
    <row r="34" spans="1:9" ht="32.4" customHeight="1">
      <c r="A34" s="81" t="s">
        <v>78</v>
      </c>
      <c r="B34" s="81" t="s">
        <v>119</v>
      </c>
      <c r="C34" s="81" t="s">
        <v>79</v>
      </c>
      <c r="D34" s="81" t="s">
        <v>59</v>
      </c>
      <c r="E34" s="101">
        <v>1</v>
      </c>
      <c r="F34" s="81">
        <v>70</v>
      </c>
      <c r="G34" s="82">
        <f>E34*F34</f>
        <v>70</v>
      </c>
      <c r="H34" s="81" t="s">
        <v>15</v>
      </c>
      <c r="I34" s="83" t="s">
        <v>80</v>
      </c>
    </row>
    <row r="35" spans="1:9" ht="28.2" customHeight="1">
      <c r="A35" s="81" t="s">
        <v>81</v>
      </c>
      <c r="B35" s="81" t="s">
        <v>119</v>
      </c>
      <c r="C35" s="81" t="s">
        <v>82</v>
      </c>
      <c r="D35" s="81" t="s">
        <v>59</v>
      </c>
      <c r="E35" s="101">
        <v>1</v>
      </c>
      <c r="F35" s="81">
        <v>145</v>
      </c>
      <c r="G35" s="82">
        <f>E35*F35</f>
        <v>145</v>
      </c>
      <c r="H35" s="81" t="s">
        <v>15</v>
      </c>
      <c r="I35" s="83" t="s">
        <v>83</v>
      </c>
    </row>
    <row r="36" spans="1:9" ht="18.600000000000001" customHeight="1">
      <c r="A36" s="95"/>
      <c r="B36" s="95"/>
      <c r="C36" s="95"/>
      <c r="D36" s="95"/>
      <c r="E36" s="95"/>
      <c r="F36" s="95"/>
      <c r="G36" s="96"/>
      <c r="H36" s="95"/>
      <c r="I36" s="97"/>
    </row>
    <row r="37" spans="1:9" ht="30.6" customHeight="1"/>
    <row r="38" spans="1:9" ht="23.4" customHeight="1"/>
    <row r="39" spans="1:9" ht="24.6" customHeight="1">
      <c r="A39" s="110" t="s">
        <v>109</v>
      </c>
      <c r="B39" s="110"/>
      <c r="C39" s="110"/>
      <c r="D39" s="110"/>
      <c r="E39" s="110"/>
      <c r="F39" s="110"/>
      <c r="G39" s="110"/>
      <c r="H39" s="110"/>
      <c r="I39" s="110"/>
    </row>
    <row r="40" spans="1:9" ht="35.4" customHeight="1">
      <c r="A40" s="111" t="s">
        <v>110</v>
      </c>
      <c r="B40" s="111"/>
      <c r="C40" s="111"/>
      <c r="D40" s="111"/>
      <c r="E40" s="111"/>
      <c r="F40" s="111"/>
      <c r="G40" s="62">
        <f>SUM(G6:G7,G11:G18,G20:G21,I25,G24)</f>
        <v>6046</v>
      </c>
      <c r="H40" s="112" t="s">
        <v>115</v>
      </c>
      <c r="I40" s="113"/>
    </row>
    <row r="41" spans="1:9" ht="33.6" customHeight="1">
      <c r="A41" s="114" t="s">
        <v>111</v>
      </c>
      <c r="B41" s="114"/>
      <c r="C41" s="114"/>
      <c r="D41" s="114"/>
      <c r="E41" s="114"/>
      <c r="F41" s="114"/>
      <c r="G41" s="63" t="s">
        <v>112</v>
      </c>
      <c r="H41" s="115" t="s">
        <v>113</v>
      </c>
      <c r="I41" s="115"/>
    </row>
    <row r="43" spans="1:9" ht="19.2" customHeight="1"/>
    <row r="44" spans="1:9" ht="13.8" customHeight="1"/>
    <row r="45" spans="1:9" ht="16.8" customHeight="1"/>
    <row r="46" spans="1:9" ht="22.8" customHeight="1">
      <c r="A46" s="109" t="s">
        <v>104</v>
      </c>
      <c r="B46" s="109"/>
      <c r="C46" s="109"/>
      <c r="D46" s="109"/>
      <c r="E46" s="109"/>
      <c r="F46" s="109"/>
      <c r="G46" s="109"/>
      <c r="H46" s="109"/>
      <c r="I46" s="109"/>
    </row>
    <row r="47" spans="1:9" ht="20.399999999999999" customHeight="1">
      <c r="A47" s="54" t="s">
        <v>105</v>
      </c>
      <c r="B47" s="54"/>
      <c r="C47" s="55" t="s">
        <v>106</v>
      </c>
      <c r="D47" s="56" t="s">
        <v>107</v>
      </c>
      <c r="E47" s="57">
        <v>2</v>
      </c>
      <c r="F47" s="58">
        <v>369</v>
      </c>
      <c r="G47" s="59">
        <f>E47*F47</f>
        <v>738</v>
      </c>
      <c r="H47" s="60" t="s">
        <v>15</v>
      </c>
      <c r="I47" s="61" t="s">
        <v>108</v>
      </c>
    </row>
    <row r="48" spans="1:9" ht="18.600000000000001" customHeight="1">
      <c r="A48" s="2" t="s">
        <v>19</v>
      </c>
      <c r="B48" s="2"/>
      <c r="C48" s="3" t="s">
        <v>20</v>
      </c>
      <c r="D48" s="4" t="s">
        <v>14</v>
      </c>
      <c r="E48" s="5">
        <v>1</v>
      </c>
      <c r="F48" s="6">
        <v>485</v>
      </c>
      <c r="G48" s="7">
        <f>E48*F48</f>
        <v>485</v>
      </c>
      <c r="H48" s="8" t="s">
        <v>15</v>
      </c>
      <c r="I48" s="9" t="s">
        <v>16</v>
      </c>
    </row>
    <row r="49" spans="1:9" ht="21" customHeight="1">
      <c r="A49" s="70"/>
      <c r="B49" s="70"/>
      <c r="C49" s="71"/>
      <c r="D49" s="65"/>
      <c r="E49" s="66"/>
      <c r="F49" s="67"/>
      <c r="G49" s="68"/>
      <c r="H49" s="72"/>
      <c r="I49" s="69"/>
    </row>
    <row r="50" spans="1:9">
      <c r="A50" s="108" t="s">
        <v>84</v>
      </c>
      <c r="B50" s="108"/>
      <c r="C50" s="108"/>
      <c r="D50" s="108"/>
      <c r="E50" s="108"/>
      <c r="F50" s="108"/>
      <c r="G50" s="108"/>
      <c r="H50" s="108"/>
      <c r="I50" s="108"/>
    </row>
    <row r="51" spans="1:9">
      <c r="A51" s="45" t="s">
        <v>85</v>
      </c>
      <c r="B51" s="45"/>
      <c r="C51" s="46" t="s">
        <v>86</v>
      </c>
      <c r="D51" s="47" t="s">
        <v>87</v>
      </c>
      <c r="E51" s="48">
        <v>2</v>
      </c>
      <c r="F51" s="49"/>
      <c r="G51" s="50"/>
      <c r="H51" s="48" t="s">
        <v>88</v>
      </c>
      <c r="I51" s="51" t="s">
        <v>89</v>
      </c>
    </row>
    <row r="52" spans="1:9">
      <c r="A52" s="45" t="s">
        <v>90</v>
      </c>
      <c r="B52" s="45"/>
      <c r="C52" s="46" t="s">
        <v>91</v>
      </c>
      <c r="D52" s="47" t="s">
        <v>87</v>
      </c>
      <c r="E52" s="48">
        <v>1</v>
      </c>
      <c r="F52" s="49"/>
      <c r="G52" s="50"/>
      <c r="H52" s="48" t="s">
        <v>88</v>
      </c>
      <c r="I52" s="51" t="s">
        <v>92</v>
      </c>
    </row>
    <row r="53" spans="1:9">
      <c r="A53" s="45" t="s">
        <v>93</v>
      </c>
      <c r="B53" s="45"/>
      <c r="C53" s="46" t="s">
        <v>94</v>
      </c>
      <c r="D53" s="47" t="s">
        <v>87</v>
      </c>
      <c r="E53" s="48">
        <v>15</v>
      </c>
      <c r="F53" s="49"/>
      <c r="G53" s="50"/>
      <c r="H53" s="48" t="s">
        <v>88</v>
      </c>
      <c r="I53" s="51" t="s">
        <v>95</v>
      </c>
    </row>
    <row r="54" spans="1:9">
      <c r="A54" s="45" t="s">
        <v>96</v>
      </c>
      <c r="B54" s="45"/>
      <c r="C54" s="46" t="s">
        <v>97</v>
      </c>
      <c r="D54" s="47" t="s">
        <v>87</v>
      </c>
      <c r="E54" s="48">
        <v>1</v>
      </c>
      <c r="F54" s="49"/>
      <c r="G54" s="50"/>
      <c r="H54" s="48" t="s">
        <v>88</v>
      </c>
      <c r="I54" s="51" t="s">
        <v>98</v>
      </c>
    </row>
    <row r="55" spans="1:9">
      <c r="A55" s="45" t="s">
        <v>99</v>
      </c>
      <c r="B55" s="45"/>
      <c r="C55" s="46" t="s">
        <v>100</v>
      </c>
      <c r="D55" s="47" t="s">
        <v>87</v>
      </c>
      <c r="E55" s="48">
        <v>40</v>
      </c>
      <c r="F55" s="49"/>
      <c r="G55" s="50"/>
      <c r="H55" s="48" t="s">
        <v>88</v>
      </c>
      <c r="I55" s="51" t="s">
        <v>89</v>
      </c>
    </row>
    <row r="56" spans="1:9">
      <c r="A56" s="45" t="s">
        <v>101</v>
      </c>
      <c r="B56" s="45"/>
      <c r="C56" s="46" t="s">
        <v>102</v>
      </c>
      <c r="D56" s="47" t="s">
        <v>87</v>
      </c>
      <c r="E56" s="48">
        <v>2</v>
      </c>
      <c r="F56" s="49"/>
      <c r="G56" s="50"/>
      <c r="H56" s="52" t="s">
        <v>103</v>
      </c>
      <c r="I56" s="53" t="s">
        <v>16</v>
      </c>
    </row>
    <row r="57" spans="1:9">
      <c r="A57" s="10" t="s">
        <v>32</v>
      </c>
      <c r="B57" s="10"/>
      <c r="C57" s="11" t="s">
        <v>33</v>
      </c>
      <c r="D57" s="12" t="s">
        <v>24</v>
      </c>
      <c r="E57" s="13">
        <v>1</v>
      </c>
      <c r="F57" s="18">
        <v>929</v>
      </c>
      <c r="G57" s="19">
        <v>929</v>
      </c>
      <c r="H57" s="20" t="s">
        <v>34</v>
      </c>
      <c r="I57" s="21" t="s">
        <v>35</v>
      </c>
    </row>
    <row r="61" spans="1:9">
      <c r="B61" s="84" t="s">
        <v>127</v>
      </c>
      <c r="C61" s="84" t="s">
        <v>133</v>
      </c>
    </row>
    <row r="62" spans="1:9">
      <c r="B62" s="84" t="s">
        <v>128</v>
      </c>
      <c r="C62" s="84" t="s">
        <v>132</v>
      </c>
    </row>
    <row r="63" spans="1:9">
      <c r="B63" s="84" t="s">
        <v>129</v>
      </c>
      <c r="C63" s="84" t="s">
        <v>131</v>
      </c>
    </row>
    <row r="64" spans="1:9">
      <c r="B64" s="84" t="s">
        <v>130</v>
      </c>
    </row>
  </sheetData>
  <mergeCells count="15">
    <mergeCell ref="A1:I1"/>
    <mergeCell ref="A2:I2"/>
    <mergeCell ref="A3:I3"/>
    <mergeCell ref="A5:I5"/>
    <mergeCell ref="A10:I10"/>
    <mergeCell ref="A19:I19"/>
    <mergeCell ref="A22:I22"/>
    <mergeCell ref="A26:I26"/>
    <mergeCell ref="A50:I50"/>
    <mergeCell ref="A46:I46"/>
    <mergeCell ref="A39:I39"/>
    <mergeCell ref="A40:F40"/>
    <mergeCell ref="H40:I40"/>
    <mergeCell ref="A41:F41"/>
    <mergeCell ref="H41:I41"/>
  </mergeCells>
  <hyperlinks>
    <hyperlink ref="I6" r:id="rId1"/>
    <hyperlink ref="I7" r:id="rId2"/>
    <hyperlink ref="I48" r:id="rId3"/>
    <hyperlink ref="I13" r:id="rId4"/>
    <hyperlink ref="I17" r:id="rId5"/>
    <hyperlink ref="I33" r:id="rId6"/>
    <hyperlink ref="I18" r:id="rId7"/>
    <hyperlink ref="I11" r:id="rId8"/>
    <hyperlink ref="I12" r:id="rId9"/>
    <hyperlink ref="I14"/>
  </hyperlinks>
  <pageMargins left="0.75" right="0.75" top="1" bottom="1" header="0.511811023622047" footer="0.511811023622047"/>
  <pageSetup paperSize="9"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Mohit Sheth</cp:lastModifiedBy>
  <cp:revision>0</cp:revision>
  <dcterms:created xsi:type="dcterms:W3CDTF">2026-05-30T05:21:12Z</dcterms:created>
  <dcterms:modified xsi:type="dcterms:W3CDTF">2026-06-24T12:09:59Z</dcterms:modified>
  <dc:language>en-US</dc:language>
</cp:coreProperties>
</file>